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d.docs.live.net/07f64d678b892a96/Desktop/2021_ZubakovSemon/UnitTestProject1/"/>
    </mc:Choice>
  </mc:AlternateContent>
  <xr:revisionPtr revIDLastSave="1" documentId="13_ncr:1_{765427C8-DB43-46E9-A118-52820ACA64E2}" xr6:coauthVersionLast="46" xr6:coauthVersionMax="46" xr10:uidLastSave="{DBF49011-A37F-42CF-BE19-F0F212433A81}"/>
  <bookViews>
    <workbookView xWindow="-120" yWindow="-120" windowWidth="29040" windowHeight="15840" xr2:uid="{00000000-000D-0000-FFFF-FFFF00000000}"/>
  </bookViews>
  <sheets>
    <sheet name="1 слой стенки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B13" i="2"/>
  <c r="F9" i="2" s="1"/>
  <c r="B12" i="2"/>
  <c r="F8" i="2" s="1"/>
  <c r="B11" i="2"/>
  <c r="F7" i="2" s="1"/>
  <c r="B10" i="2"/>
  <c r="F6" i="2" s="1"/>
  <c r="B18" i="2"/>
  <c r="F10" i="2" s="1"/>
  <c r="B17" i="2"/>
  <c r="F20" i="2" l="1"/>
  <c r="F19" i="2"/>
  <c r="F17" i="2"/>
  <c r="F18" i="2"/>
  <c r="F16" i="2"/>
</calcChain>
</file>

<file path=xl/sharedStrings.xml><?xml version="1.0" encoding="utf-8"?>
<sst xmlns="http://schemas.openxmlformats.org/spreadsheetml/2006/main" count="60" uniqueCount="54">
  <si>
    <r>
      <t>Толщина второй стенки S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(м)</t>
    </r>
  </si>
  <si>
    <t>Теплопроводность второго материала ɣ ( Вт/м*К)</t>
  </si>
  <si>
    <t>Степень черноты стенки</t>
  </si>
  <si>
    <r>
      <t>Температура  газа T</t>
    </r>
    <r>
      <rPr>
        <vertAlign val="subscript"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scheme val="minor"/>
      </rPr>
      <t>(</t>
    </r>
    <r>
      <rPr>
        <vertAlign val="superscript"/>
        <sz val="11"/>
        <color theme="1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scheme val="minor"/>
      </rPr>
      <t>С)</t>
    </r>
  </si>
  <si>
    <r>
      <t>Температура  внутренней поверхности стенки 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(</t>
    </r>
    <r>
      <rPr>
        <vertAlign val="superscript"/>
        <sz val="11"/>
        <color theme="1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scheme val="minor"/>
      </rPr>
      <t>С)</t>
    </r>
  </si>
  <si>
    <t>Постоянная Стефана-Больцмана</t>
  </si>
  <si>
    <t>Коэффициент, учитывающий положение поверхности К</t>
  </si>
  <si>
    <t>Наименование показателя, ед. изм.</t>
  </si>
  <si>
    <t>Величина</t>
  </si>
  <si>
    <t>Исходные данные</t>
  </si>
  <si>
    <t>Расчетные показатели</t>
  </si>
  <si>
    <t>Расчет теплового потока через плоскую огнеупорную стенку</t>
  </si>
  <si>
    <t>Коэффициент теплоотдачи от внешней стенки в окр. среду а (Вт/м2 *К)</t>
  </si>
  <si>
    <t>Суммарный коэффициент теплоотдачи а(Вт/м2 *К)</t>
  </si>
  <si>
    <r>
      <t>Плотность теплового потока, отдаваемого в окруж. среду от наруж. поверхности q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</si>
  <si>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t>Плотность теплового потока, отдаваемого  от газа к внутр. стороне стенки</t>
  </si>
  <si>
    <r>
      <t>Температура окружающей среды T</t>
    </r>
    <r>
      <rPr>
        <vertAlign val="subscript"/>
        <sz val="11"/>
        <color theme="1"/>
        <rFont val="Calibri"/>
        <family val="2"/>
        <charset val="204"/>
        <scheme val="minor"/>
      </rPr>
      <t>окр</t>
    </r>
    <r>
      <rPr>
        <sz val="11"/>
        <color theme="1"/>
        <rFont val="Calibri"/>
        <family val="2"/>
        <scheme val="minor"/>
      </rPr>
      <t>(</t>
    </r>
    <r>
      <rPr>
        <vertAlign val="super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С)</t>
    </r>
  </si>
  <si>
    <t>Равенство 1</t>
  </si>
  <si>
    <t>Равенство 2</t>
  </si>
  <si>
    <t>Подбор значений</t>
  </si>
  <si>
    <t>д.б. равно 0</t>
  </si>
  <si>
    <t>Плотность теплового потока внутри 1 стенки</t>
  </si>
  <si>
    <t>Плотность теплового потока внутри 2 стенки</t>
  </si>
  <si>
    <r>
      <t>Температура наружной стенки T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н </t>
    </r>
    <r>
      <rPr>
        <sz val="11"/>
        <color theme="1"/>
        <rFont val="Calibri"/>
        <family val="2"/>
        <charset val="204"/>
        <scheme val="minor"/>
      </rPr>
      <t>(</t>
    </r>
    <r>
      <rPr>
        <vertAlign val="super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C)</t>
    </r>
  </si>
  <si>
    <t>Равенство 3</t>
  </si>
  <si>
    <r>
      <t>Толщина третьей стенки S</t>
    </r>
    <r>
      <rPr>
        <vertAlign val="sub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(м)</t>
    </r>
  </si>
  <si>
    <r>
      <t>Толщина четвертой стенки S</t>
    </r>
    <r>
      <rPr>
        <vertAlign val="sub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scheme val="minor"/>
      </rPr>
      <t>(м)</t>
    </r>
  </si>
  <si>
    <r>
      <t>Толщина первой стенки S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(м)</t>
    </r>
  </si>
  <si>
    <t>Теплопроводность третьего материала ɣ( Вт/м*К)</t>
  </si>
  <si>
    <t>Теплопроводность четвертого материала ɣ( Вт/м*К)</t>
  </si>
  <si>
    <r>
      <t>Температура границы поверхностей стенки T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 xml:space="preserve"> (С)</t>
    </r>
  </si>
  <si>
    <r>
      <t>Температура границы поверхностей стенки T</t>
    </r>
    <r>
      <rPr>
        <vertAlign val="sub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 xml:space="preserve"> (С)</t>
    </r>
  </si>
  <si>
    <r>
      <t>Температура границы поверхностей стенки T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4 </t>
    </r>
    <r>
      <rPr>
        <sz val="11"/>
        <color theme="1"/>
        <rFont val="Calibri"/>
        <family val="2"/>
        <scheme val="minor"/>
      </rPr>
      <t>(С)</t>
    </r>
  </si>
  <si>
    <t>Плотность теплового потока внутри 3 стенки</t>
  </si>
  <si>
    <t>Плотность теплового потока внутри 4 стенки</t>
  </si>
  <si>
    <t>Равенство 4</t>
  </si>
  <si>
    <t>Равенство 5</t>
  </si>
  <si>
    <t>C1=</t>
  </si>
  <si>
    <t>C2=</t>
  </si>
  <si>
    <t>C3=</t>
  </si>
  <si>
    <t>C4=</t>
  </si>
  <si>
    <t>B1=</t>
  </si>
  <si>
    <t>B2=</t>
  </si>
  <si>
    <t>B3=</t>
  </si>
  <si>
    <t>B4=</t>
  </si>
  <si>
    <t>A1=</t>
  </si>
  <si>
    <t>A2=</t>
  </si>
  <si>
    <t>A3=</t>
  </si>
  <si>
    <t>A4=</t>
  </si>
  <si>
    <t>Динас</t>
  </si>
  <si>
    <t>Шамот</t>
  </si>
  <si>
    <t>Каолиновая вата</t>
  </si>
  <si>
    <t>Диатомит порошок</t>
  </si>
  <si>
    <r>
      <t xml:space="preserve">Теплопроводность первого материала </t>
    </r>
    <r>
      <rPr>
        <b/>
        <sz val="11"/>
        <color theme="1"/>
        <rFont val="Calibri"/>
        <family val="2"/>
        <charset val="204"/>
      </rPr>
      <t>ɣ</t>
    </r>
    <r>
      <rPr>
        <b/>
        <sz val="11"/>
        <color theme="1"/>
        <rFont val="Calibri"/>
        <family val="2"/>
        <charset val="204"/>
        <scheme val="minor"/>
      </rPr>
      <t>( Вт/м*К)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</si>
</sst>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"/>
    <numFmt numFmtId="166" formatCode="0.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5" fillId="0" borderId="0" xfId="0" applyFont="1"/>
    <xf numFmtId="165" fontId="0" fillId="0" borderId="0" xfId="0" applyNumberFormat="1"/>
    <xf numFmtId="164" fontId="0" fillId="2" borderId="1" xfId="0" applyNumberFormat="1" applyFill="1" applyBorder="1"/>
    <xf numFmtId="0" fontId="8" fillId="4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4" fillId="5" borderId="1" xfId="0" applyFont="1" applyFill="1" applyBorder="1"/>
    <xf numFmtId="0" fontId="0" fillId="7" borderId="1" xfId="0" applyFill="1" applyBorder="1"/>
    <xf numFmtId="166" fontId="0" fillId="2" borderId="1" xfId="0" applyNumberFormat="1" applyFill="1" applyBorder="1"/>
    <xf numFmtId="0" fontId="5" fillId="8" borderId="1" xfId="0" applyFont="1" applyFill="1" applyBorder="1"/>
    <xf numFmtId="0" fontId="6" fillId="8" borderId="1" xfId="0" applyFont="1" applyFill="1" applyBorder="1"/>
    <xf numFmtId="0" fontId="5" fillId="9" borderId="1" xfId="0" applyFont="1" applyFill="1" applyBorder="1"/>
    <xf numFmtId="0" fontId="5" fillId="2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13</xdr:row>
          <xdr:rowOff>9525</xdr:rowOff>
        </xdr:from>
        <xdr:to>
          <xdr:col>13</xdr:col>
          <xdr:colOff>266700</xdr:colOff>
          <xdr:row>15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626A-CAD7-4E53-9E12-5381DE167305}">
  <sheetPr codeName="Лист1"/>
  <dimension ref="A1:M25"/>
  <sheetViews>
    <sheetView tabSelected="1" zoomScaleNormal="100" workbookViewId="0">
      <selection activeCell="D6" sqref="D6"/>
    </sheetView>
  </sheetViews>
  <sheetFormatPr defaultRowHeight="15" x14ac:dyDescent="0.25"/>
  <cols>
    <col min="1" max="1" width="68.85546875" customWidth="1"/>
    <col min="2" max="2" width="17.140625" customWidth="1"/>
    <col min="3" max="3" width="8.28515625" customWidth="1"/>
    <col min="5" max="5" width="78.28515625" customWidth="1"/>
    <col min="6" max="6" width="16.85546875" customWidth="1"/>
    <col min="7" max="7" width="13.85546875" customWidth="1"/>
    <col min="11" max="11" width="13" customWidth="1"/>
    <col min="12" max="12" width="5.85546875" customWidth="1"/>
  </cols>
  <sheetData>
    <row r="1" spans="1:13" ht="15.75" x14ac:dyDescent="0.25">
      <c r="A1" s="14" t="s">
        <v>11</v>
      </c>
      <c r="B1" s="13"/>
      <c r="G1" s="11" t="s">
        <v>49</v>
      </c>
      <c r="H1" s="11" t="s">
        <v>45</v>
      </c>
      <c r="I1" s="11">
        <v>0.93</v>
      </c>
      <c r="J1" s="11" t="s">
        <v>41</v>
      </c>
      <c r="K1" s="11">
        <v>0.69</v>
      </c>
      <c r="L1" s="11" t="s">
        <v>37</v>
      </c>
      <c r="M1" s="11">
        <v>0</v>
      </c>
    </row>
    <row r="2" spans="1:13" x14ac:dyDescent="0.25">
      <c r="A2" s="13" t="s">
        <v>9</v>
      </c>
      <c r="B2" s="13"/>
      <c r="C2" s="3"/>
      <c r="D2" s="3"/>
      <c r="E2" s="15" t="s">
        <v>10</v>
      </c>
      <c r="F2" s="15"/>
      <c r="G2" s="11" t="s">
        <v>50</v>
      </c>
      <c r="H2" s="11" t="s">
        <v>46</v>
      </c>
      <c r="I2" s="11">
        <v>0.84</v>
      </c>
      <c r="J2" s="11" t="s">
        <v>42</v>
      </c>
      <c r="K2" s="11">
        <v>0.57999999999999996</v>
      </c>
      <c r="L2" s="11" t="s">
        <v>38</v>
      </c>
      <c r="M2" s="11">
        <v>0</v>
      </c>
    </row>
    <row r="3" spans="1:13" x14ac:dyDescent="0.25">
      <c r="A3" s="13" t="s">
        <v>7</v>
      </c>
      <c r="B3" s="13" t="s">
        <v>8</v>
      </c>
      <c r="E3" s="15" t="s">
        <v>7</v>
      </c>
      <c r="F3" s="15" t="s">
        <v>8</v>
      </c>
      <c r="G3" s="11" t="s">
        <v>52</v>
      </c>
      <c r="H3" s="11" t="s">
        <v>47</v>
      </c>
      <c r="I3" s="11">
        <v>0.1</v>
      </c>
      <c r="J3" s="11" t="s">
        <v>43</v>
      </c>
      <c r="K3" s="11">
        <v>0.28000000000000003</v>
      </c>
      <c r="L3" s="11" t="s">
        <v>39</v>
      </c>
      <c r="M3" s="11">
        <v>0</v>
      </c>
    </row>
    <row r="4" spans="1:13" ht="18" x14ac:dyDescent="0.35">
      <c r="A4" s="1" t="s">
        <v>27</v>
      </c>
      <c r="B4" s="1">
        <v>0.23200000000000001</v>
      </c>
      <c r="G4" s="11" t="s">
        <v>51</v>
      </c>
      <c r="H4" s="11" t="s">
        <v>48</v>
      </c>
      <c r="I4" s="11">
        <v>0.04</v>
      </c>
      <c r="J4" s="11" t="s">
        <v>44</v>
      </c>
      <c r="K4" s="11">
        <v>0.30199999999999999</v>
      </c>
      <c r="L4" s="11" t="s">
        <v>40</v>
      </c>
      <c r="M4" s="11">
        <v>0</v>
      </c>
    </row>
    <row r="5" spans="1:13" ht="18" x14ac:dyDescent="0.35">
      <c r="A5" s="1" t="s">
        <v>0</v>
      </c>
      <c r="B5" s="1">
        <v>0.1</v>
      </c>
      <c r="E5" s="2" t="s">
        <v>15</v>
      </c>
      <c r="F5" s="2">
        <f>B16*(B9-B19)</f>
        <v>213.46344323626909</v>
      </c>
    </row>
    <row r="6" spans="1:13" ht="18" x14ac:dyDescent="0.35">
      <c r="A6" s="1" t="s">
        <v>25</v>
      </c>
      <c r="B6" s="1">
        <v>0.21</v>
      </c>
      <c r="E6" s="2" t="s">
        <v>21</v>
      </c>
      <c r="F6" s="2">
        <f>(B19-B20)/(B4/B10)</f>
        <v>213.46242250928466</v>
      </c>
    </row>
    <row r="7" spans="1:13" ht="18" x14ac:dyDescent="0.35">
      <c r="A7" s="1" t="s">
        <v>26</v>
      </c>
      <c r="B7" s="1">
        <v>0.46</v>
      </c>
      <c r="E7" s="2" t="s">
        <v>22</v>
      </c>
      <c r="F7" s="2">
        <f>(B20-B21)/(B5/B11)</f>
        <v>213.46055854065122</v>
      </c>
    </row>
    <row r="8" spans="1:13" ht="18.75" x14ac:dyDescent="0.35">
      <c r="A8" s="1" t="s">
        <v>16</v>
      </c>
      <c r="B8" s="1">
        <v>5</v>
      </c>
      <c r="E8" s="2" t="s">
        <v>33</v>
      </c>
      <c r="F8" s="2">
        <f>(B21-B22)/(B6/B12)</f>
        <v>213.45981764668778</v>
      </c>
    </row>
    <row r="9" spans="1:13" ht="18.75" x14ac:dyDescent="0.35">
      <c r="A9" s="1" t="s">
        <v>3</v>
      </c>
      <c r="B9" s="1">
        <v>900</v>
      </c>
      <c r="E9" s="2" t="s">
        <v>34</v>
      </c>
      <c r="F9" s="2">
        <f>(B22-B23)/(B7/B13)</f>
        <v>215.31598632038992</v>
      </c>
    </row>
    <row r="10" spans="1:13" ht="18" x14ac:dyDescent="0.35">
      <c r="A10" s="16" t="s">
        <v>53</v>
      </c>
      <c r="B10" s="12">
        <f>I1+K1*0.001*((B19+B20)/2)+M1</f>
        <v>1.530631985204165</v>
      </c>
      <c r="E10" s="2" t="s">
        <v>14</v>
      </c>
      <c r="F10" s="2">
        <f>B18*(B23-B8)</f>
        <v>213.45916120201935</v>
      </c>
    </row>
    <row r="11" spans="1:13" x14ac:dyDescent="0.25">
      <c r="A11" s="16" t="s">
        <v>1</v>
      </c>
      <c r="B11" s="1">
        <f>I2+K2*0.001*((B20+B21)/2)+M2</f>
        <v>1.3308447209825702</v>
      </c>
    </row>
    <row r="12" spans="1:13" x14ac:dyDescent="0.25">
      <c r="A12" s="16" t="s">
        <v>28</v>
      </c>
      <c r="B12" s="1">
        <f>I3+K3*0.001*((B21+B22)/2)</f>
        <v>0.31477696045481474</v>
      </c>
    </row>
    <row r="13" spans="1:13" x14ac:dyDescent="0.25">
      <c r="A13" s="16" t="s">
        <v>29</v>
      </c>
      <c r="B13" s="1">
        <f>I4+K4*0.001*((B22+B23)/2)</f>
        <v>0.15129946315833745</v>
      </c>
    </row>
    <row r="14" spans="1:13" x14ac:dyDescent="0.25">
      <c r="A14" s="1" t="s">
        <v>6</v>
      </c>
      <c r="B14" s="1">
        <v>2.4</v>
      </c>
    </row>
    <row r="15" spans="1:13" ht="18.75" x14ac:dyDescent="0.3">
      <c r="A15" s="1" t="s">
        <v>2</v>
      </c>
      <c r="B15" s="1">
        <v>0.5</v>
      </c>
      <c r="E15" s="6" t="s">
        <v>19</v>
      </c>
      <c r="F15" s="7"/>
      <c r="G15" s="7"/>
    </row>
    <row r="16" spans="1:13" x14ac:dyDescent="0.25">
      <c r="A16" s="1" t="s">
        <v>13</v>
      </c>
      <c r="B16" s="1">
        <v>16</v>
      </c>
      <c r="E16" s="7" t="s">
        <v>17</v>
      </c>
      <c r="F16" s="7">
        <f>F5-F6</f>
        <v>1.0207269844215716E-3</v>
      </c>
      <c r="G16" s="7" t="s">
        <v>20</v>
      </c>
    </row>
    <row r="17" spans="1:7" x14ac:dyDescent="0.25">
      <c r="A17" s="1" t="s">
        <v>5</v>
      </c>
      <c r="B17" s="5">
        <f>5.67*10^(-8)</f>
        <v>5.6699999999999998E-8</v>
      </c>
      <c r="E17" s="7" t="s">
        <v>18</v>
      </c>
      <c r="F17" s="7">
        <f>F6-F7</f>
        <v>1.8639686334438466E-3</v>
      </c>
      <c r="G17" s="7" t="s">
        <v>20</v>
      </c>
    </row>
    <row r="18" spans="1:7" x14ac:dyDescent="0.25">
      <c r="A18" s="9" t="s">
        <v>12</v>
      </c>
      <c r="B18" s="9">
        <f>(B14*(B23-B8)^(1/4))+B17*((B23^4)-(B8^4))/(B23-B8)</f>
        <v>5.8924861251180163</v>
      </c>
      <c r="E18" s="7" t="s">
        <v>24</v>
      </c>
      <c r="F18" s="7">
        <f>F7-F8</f>
        <v>7.4089396343879343E-4</v>
      </c>
      <c r="G18" s="7" t="s">
        <v>20</v>
      </c>
    </row>
    <row r="19" spans="1:7" ht="18.75" x14ac:dyDescent="0.35">
      <c r="A19" s="8" t="s">
        <v>4</v>
      </c>
      <c r="B19" s="10">
        <v>886.65853479773318</v>
      </c>
      <c r="E19" s="7" t="s">
        <v>35</v>
      </c>
      <c r="F19" s="7">
        <f>F8-F9</f>
        <v>-1.8561686737021432</v>
      </c>
      <c r="G19" s="7" t="s">
        <v>20</v>
      </c>
    </row>
    <row r="20" spans="1:7" ht="18" x14ac:dyDescent="0.35">
      <c r="A20" s="8" t="s">
        <v>30</v>
      </c>
      <c r="B20" s="10">
        <v>854.30374115636789</v>
      </c>
      <c r="E20" s="7" t="s">
        <v>36</v>
      </c>
      <c r="F20" s="7">
        <f>F9-F10</f>
        <v>1.8568251183705797</v>
      </c>
      <c r="G20" s="7" t="s">
        <v>20</v>
      </c>
    </row>
    <row r="21" spans="1:7" ht="18" x14ac:dyDescent="0.35">
      <c r="A21" s="8" t="s">
        <v>31</v>
      </c>
      <c r="B21" s="8">
        <v>838.26426223180545</v>
      </c>
    </row>
    <row r="22" spans="1:7" ht="18" x14ac:dyDescent="0.35">
      <c r="A22" s="8" t="s">
        <v>32</v>
      </c>
      <c r="B22" s="8">
        <v>695.85688387401376</v>
      </c>
    </row>
    <row r="23" spans="1:7" ht="18.75" x14ac:dyDescent="0.35">
      <c r="A23" s="8" t="s">
        <v>23</v>
      </c>
      <c r="B23" s="8">
        <v>41.225653598419655</v>
      </c>
    </row>
    <row r="24" spans="1:7" x14ac:dyDescent="0.25">
      <c r="B24" s="4"/>
    </row>
    <row r="25" spans="1:7" x14ac:dyDescent="0.25">
      <c r="B25" s="4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Макр">
                <anchor moveWithCells="1" sizeWithCells="1">
                  <from>
                    <xdr:col>7</xdr:col>
                    <xdr:colOff>209550</xdr:colOff>
                    <xdr:row>13</xdr:row>
                    <xdr:rowOff>9525</xdr:rowOff>
                  </from>
                  <to>
                    <xdr:col>13</xdr:col>
                    <xdr:colOff>266700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F2F1D678B0CF8D49A2FC0A9B73F59F89" ma:contentTypeVersion="6" ma:contentTypeDescription="Создание документа." ma:contentTypeScope="" ma:versionID="78b5f3da44b26ecf792ea80623d0751c">
  <xsd:schema xmlns:xsd="http://www.w3.org/2001/XMLSchema" xmlns:xs="http://www.w3.org/2001/XMLSchema" xmlns:p="http://schemas.microsoft.com/office/2006/metadata/properties" xmlns:ns2="a1e083f3-8d69-47b4-ac5e-a15b59cb8405" targetNamespace="http://schemas.microsoft.com/office/2006/metadata/properties" ma:root="true" ma:fieldsID="54e901280813c454592a813c2be8bc5b" ns2:_="">
    <xsd:import namespace="a1e083f3-8d69-47b4-ac5e-a15b59cb8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e083f3-8d69-47b4-ac5e-a15b59cb84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A86B87-E84B-4230-A800-E95B07D96D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e083f3-8d69-47b4-ac5e-a15b59cb8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7546BD-49BB-40C6-BA91-C7AA05C84C1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9A381F6-0059-4696-B0D3-590C22604B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 слой стенки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Best Company</dc:creator>
  <cp:lastModifiedBy>Best Company</cp:lastModifiedBy>
  <dcterms:created xsi:type="dcterms:W3CDTF">2015-06-05T18:19:34Z</dcterms:created>
  <dcterms:modified xsi:type="dcterms:W3CDTF">2021-10-26T18:20:07Z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0x010100F2F1D678B0CF8D49A2FC0A9B73F59F89</vt:lpwstr>
  </property>
</Properties>
</file>